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HP\Downloads\"/>
    </mc:Choice>
  </mc:AlternateContent>
  <xr:revisionPtr revIDLastSave="0" documentId="11_0E222D9D1F8CF4B65A580E229A8014C029E5C732" xr6:coauthVersionLast="47" xr6:coauthVersionMax="47" xr10:uidLastSave="{00000000-0000-0000-0000-000000000000}"/>
  <bookViews>
    <workbookView xWindow="-108" yWindow="-108" windowWidth="23256" windowHeight="12456" tabRatio="500" activeTab="4" xr2:uid="{00000000-000D-0000-FFFF-FFFF00000000}"/>
  </bookViews>
  <sheets>
    <sheet name="Overview" sheetId="1" r:id="rId1"/>
    <sheet name="Income Statement" sheetId="2" r:id="rId2"/>
    <sheet name="Balance Sheet" sheetId="3" r:id="rId3"/>
    <sheet name="Key Ratios" sheetId="4" r:id="rId4"/>
    <sheet name="IMF Controversy Context" sheetId="5" r:id="rId5"/>
    <sheet name="Sources" sheetId="6" r:id="rId6"/>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9" i="4" l="1"/>
  <c r="B9" i="4"/>
  <c r="C8" i="4"/>
  <c r="B8" i="4"/>
  <c r="B7" i="4"/>
  <c r="C6" i="4"/>
  <c r="C5" i="4"/>
  <c r="B5" i="4"/>
  <c r="C12" i="3"/>
  <c r="B12" i="3"/>
  <c r="C11" i="3"/>
  <c r="D11" i="3" s="1"/>
  <c r="B11" i="3"/>
  <c r="D9" i="3"/>
  <c r="D8" i="3"/>
  <c r="D7" i="3"/>
  <c r="D6" i="3"/>
  <c r="D5" i="3"/>
  <c r="D30" i="2"/>
  <c r="B29" i="2"/>
  <c r="D26" i="2"/>
  <c r="D17" i="2"/>
  <c r="D13" i="2"/>
  <c r="D12" i="2"/>
  <c r="B12" i="2"/>
  <c r="B6" i="4" s="1"/>
  <c r="D34" i="1"/>
  <c r="D33" i="1"/>
  <c r="D32" i="1"/>
  <c r="D31" i="1"/>
  <c r="D30" i="1"/>
  <c r="D29" i="1"/>
  <c r="D27" i="1"/>
  <c r="D26" i="1"/>
  <c r="D25" i="1"/>
</calcChain>
</file>

<file path=xl/sharedStrings.xml><?xml version="1.0" encoding="utf-8"?>
<sst xmlns="http://schemas.openxmlformats.org/spreadsheetml/2006/main" count="251" uniqueCount="190">
  <si>
    <t>Ghana Gold Board (GoldBod) — Financial Statements Analysis Since Inception</t>
  </si>
  <si>
    <t>Institutional profile, FY2025 audited results (first full year), and FY2024 predecessor (PMMC) comparatives</t>
  </si>
  <si>
    <t>Institutional profile</t>
  </si>
  <si>
    <t>Entity</t>
  </si>
  <si>
    <t>Ghana Gold Board (GoldBod)</t>
  </si>
  <si>
    <t>Legal basis</t>
  </si>
  <si>
    <t>Ghana Gold Board Act, 2025 (Act 1140), passed by Parliament March 2025</t>
  </si>
  <si>
    <t>Established</t>
  </si>
  <si>
    <t>April 2025</t>
  </si>
  <si>
    <t>Predecessor</t>
  </si>
  <si>
    <t>Precious Minerals Marketing Company (PMMC) — dissolved; 2024 figures below are PMMC's, shown as the comparative period in GoldBod's own audited statements</t>
  </si>
  <si>
    <t>Parent ministry</t>
  </si>
  <si>
    <t>Ministry of Lands and Natural Resources</t>
  </si>
  <si>
    <t>Mandate</t>
  </si>
  <si>
    <t>Buy, assay, sell, and export gold and other minerals from licensed artisanal and small-scale miners (ASM); aggregator role in the Bank of Ghana's Domestic Gold Purchase Programme (DGPP)</t>
  </si>
  <si>
    <t>CEO</t>
  </si>
  <si>
    <t>Sammy Gyamfi, Esq.</t>
  </si>
  <si>
    <t>Staff (2025)</t>
  </si>
  <si>
    <t>450, up from PMMC's 114 in 2024</t>
  </si>
  <si>
    <t>Reporting</t>
  </si>
  <si>
    <t>Publishes quarterly financial statements under GoldBod Act Section 42; first annual audited statements (FY2025) published April 2026</t>
  </si>
  <si>
    <t>Why 'since inception' means one audited year</t>
  </si>
  <si>
    <t>GoldBod only began operating in April 2025, so its first audited annual financial statements (year ended 31 December 2025) are also its only full-year statements to date. The 2024 figures quoted throughout this workbook are PMMC's, carried as the prior-year comparative in GoldBod's own audited report, not GoldBod's own trading history. Treat 2024 as a predecessor baseline, not a second year of GoldBod itself.</t>
  </si>
  <si>
    <t>FY2025 headline results (GH₵)</t>
  </si>
  <si>
    <t>Metric</t>
  </si>
  <si>
    <t>FY2025</t>
  </si>
  <si>
    <t>FY2024 (PMMC)</t>
  </si>
  <si>
    <t>Change</t>
  </si>
  <si>
    <t>Total revenue</t>
  </si>
  <si>
    <t>Total non-tax revenue</t>
  </si>
  <si>
    <t>Total expenditure</t>
  </si>
  <si>
    <t>Operational (non-tax) surplus</t>
  </si>
  <si>
    <t>n/a</t>
  </si>
  <si>
    <t>Overall surplus</t>
  </si>
  <si>
    <t>Total assets</t>
  </si>
  <si>
    <t>Total liabilities</t>
  </si>
  <si>
    <t>Cash and cash equivalents</t>
  </si>
  <si>
    <t>Finance costs</t>
  </si>
  <si>
    <t>Long-term borrowings</t>
  </si>
  <si>
    <t>Source: GoldBod audited financial statements, year ended 31 Dec 2025, as reported in Ghanaian Times, 29 Apr 2026, and corroborated by MyJoyOnline, Graphic Online, GBC and goldbod.gov.gh. Total revenue and total expenditure are rounded in the original press summaries; underlying detail is broken out on the Income Statement tab.</t>
  </si>
  <si>
    <t>Income Statement — FY2025 vs FY2024 (PMMC)</t>
  </si>
  <si>
    <t>GH₵, as reported in GoldBod's audited financial statements</t>
  </si>
  <si>
    <t>Line item</t>
  </si>
  <si>
    <t>YoY change</t>
  </si>
  <si>
    <t>Note</t>
  </si>
  <si>
    <t>Non-tax revenue, by source</t>
  </si>
  <si>
    <t xml:space="preserve">   ASM gold aggregation service charges</t>
  </si>
  <si>
    <t>n/d</t>
  </si>
  <si>
    <t xml:space="preserve">   Assay services</t>
  </si>
  <si>
    <t xml:space="preserve">   Inspection fees (large-scale mining)</t>
  </si>
  <si>
    <t xml:space="preserve">   Registration and licensing fees</t>
  </si>
  <si>
    <t xml:space="preserve">   Commission on diamond exports</t>
  </si>
  <si>
    <t xml:space="preserve">   Diamond Licensed Buying Company fees</t>
  </si>
  <si>
    <t>Reported total (GH₵983,962,564) is used on the Overview tab; the six itemised lines above are the disclosed breakdown and reconcile to it. Finance income is reported separately, not folded into this subtotal.</t>
  </si>
  <si>
    <t xml:space="preserve">   Finance income (separate line, not in non-tax revenue subtotal)</t>
  </si>
  <si>
    <t>Government subvention (revolving trade capital)</t>
  </si>
  <si>
    <t>Seed capital for gold purchasing, trading and export operations; not revenue in the trading sense, but drives the overall surplus.</t>
  </si>
  <si>
    <t>Total revenue (as reported)</t>
  </si>
  <si>
    <t>As reported in the audited statements; not the arithmetic sum of the lines above in every press summary, so shown as a separate reported figure.</t>
  </si>
  <si>
    <t>Expenditure, by category</t>
  </si>
  <si>
    <t xml:space="preserve">   Compensation of employees</t>
  </si>
  <si>
    <t xml:space="preserve">   Use of goods and services</t>
  </si>
  <si>
    <t xml:space="preserve">   Specialised expenses</t>
  </si>
  <si>
    <t xml:space="preserve">   Taskforce deployment</t>
  </si>
  <si>
    <t xml:space="preserve">   Corporate Social Responsibility (CSR)</t>
  </si>
  <si>
    <t xml:space="preserve">   Special Intervention Programme (SIP)</t>
  </si>
  <si>
    <t>Total expenditure (as reported)</t>
  </si>
  <si>
    <t>The six categories above sum to roughly GH₵135.4m in some press tallies vs GH₵109.59m reported; treat the itemised lines as partial disclosure, not a full reconciliation. Flagged for follow-up against the primary audited PDF.</t>
  </si>
  <si>
    <t>Surplus</t>
  </si>
  <si>
    <t>Formula check: non-tax revenue plus finance income less total expenditure. Reported figure is GH₵909,713,825 — this cell should land within rounding of it.</t>
  </si>
  <si>
    <t>Overall surplus (incl. government subvention)</t>
  </si>
  <si>
    <t>As reported: &gt;2,800% YoY growth is GoldBod's own framing, driven almost entirely by the GH₵4.5477bn government subvention, not by operating performance.</t>
  </si>
  <si>
    <t>Balance Sheet Snapshot — FY2025 vs FY2024 (PMMC)</t>
  </si>
  <si>
    <t>Supported by operating cash inflows of GH₵8.06bn in 2025</t>
  </si>
  <si>
    <t>Largely trade payables tied to the Domestic Gold Purchase Programme, chiefly amounts owed to the Bank of Ghana</t>
  </si>
  <si>
    <t>Legacy Royal Bank / Unibank Ghana facilities inherited from PMMC</t>
  </si>
  <si>
    <t>Zero finance costs in 2025 reflects reduced debt-servicing, not zero financing activity</t>
  </si>
  <si>
    <t>Implied net assets (Total assets − Total liabilities)</t>
  </si>
  <si>
    <t>Liabilities-to-assets ratio</t>
  </si>
  <si>
    <t>Liabilities grew faster than assets fell in relative terms; both grew, but liabilities' share of the balance sheet rose from 2024 to 2025.</t>
  </si>
  <si>
    <t>The balance sheet detail available from public reporting is a summary, not a full statement of financial position. GoldBod's own audited PDF (published on goldbod.gov.gh) will carry the full asset and liability breakdown, including receivables from and payables to the Bank of Ghana under the DGPP. Treat this tab as a snapshot pending that primary source.</t>
  </si>
  <si>
    <t>Key Ratios and Financial Highlights</t>
  </si>
  <si>
    <t>Formulas reference the Income Statement and Balance Sheet tabs</t>
  </si>
  <si>
    <t>Ratio</t>
  </si>
  <si>
    <t>Reading</t>
  </si>
  <si>
    <t>Cost-to-revenue ratio (expenditure / non-tax revenue)</t>
  </si>
  <si>
    <t>Lower is more efficient. GoldBod cut this materially in its first full year despite a fourfold staff increase.</t>
  </si>
  <si>
    <t>Non-tax operating margin (operational surplus / non-tax revenue)</t>
  </si>
  <si>
    <t>Share of core (non-subvention) revenue retained as surplus.</t>
  </si>
  <si>
    <t>Subvention share of total revenue</t>
  </si>
  <si>
    <t>Shows how much of the headline GH₵5.55bn 'revenue' figure is government seed capital rather than earned income.</t>
  </si>
  <si>
    <t>Share of the balance sheet funded by liabilities, largely DGPP-related payables to the Bank of Ghana.</t>
  </si>
  <si>
    <t>Cash-to-liabilities ratio</t>
  </si>
  <si>
    <t>Liquidity cushion against reported liabilities.</t>
  </si>
  <si>
    <t>IMF and Local Criticism — Timeline and Reconciliation</t>
  </si>
  <si>
    <t>The figures GoldBod reports about itself and the figures the IMF reports about the DGPP describe different scopes</t>
  </si>
  <si>
    <t>The core reconciliation point</t>
  </si>
  <si>
    <t>GoldBod's own audited statements show a surplus (GH₵5.44bn overall, GH₵909.7m operational, for FY2025). The IMF's loss figures ($214m, later cited as GH₵22bn / 1.5% of GDP, and separately as $1.7bn in a later Article IV report) describe quasi-fiscal losses on the Bank of Ghana's own books from the wider Domestic Gold Purchase Programme (DGPP), not losses recorded in GoldBod's financial statements. Both claims can be true at once: GoldBod's fee-based agency income was positive, while the BoG absorbed pricing, trading, and exchange-rate losses on the gold it bought through the programme. From July 2026, the DGPP transferred fully to GoldBod, so this separation ends going forward — GoldBod now absorbs those costs directly.</t>
  </si>
  <si>
    <t>Timeline</t>
  </si>
  <si>
    <t>Date</t>
  </si>
  <si>
    <t>Event</t>
  </si>
  <si>
    <t>Figure cited</t>
  </si>
  <si>
    <t>Source</t>
  </si>
  <si>
    <t>Mar 2025</t>
  </si>
  <si>
    <t>GoldBod Act 1140 passed by Parliament, signed by President Mahama</t>
  </si>
  <si>
    <t>-</t>
  </si>
  <si>
    <t>Wikipedia / Parliament</t>
  </si>
  <si>
    <t>Apr 2025</t>
  </si>
  <si>
    <t>GoldBod formally established, absorbing PMMC's functions</t>
  </si>
  <si>
    <t>goldbod.gov.gh</t>
  </si>
  <si>
    <t>Nov 2025</t>
  </si>
  <si>
    <t>GoldBod rejects Asaase News report alleging GH₵3bn in first-year losses</t>
  </si>
  <si>
    <t>GH₵3bn claim (disputed)</t>
  </si>
  <si>
    <t>Dec 2025</t>
  </si>
  <si>
    <t>IMF Fifth Review (ECF programme) reports G4R programme losses</t>
  </si>
  <si>
    <t>$214m (through Q3 2025)</t>
  </si>
  <si>
    <t>IMF / MyJoyOnline</t>
  </si>
  <si>
    <t>GoldBod publicly rejects the IMF figure as a Bank of Ghana matter, not its own</t>
  </si>
  <si>
    <t>GhanaWeb</t>
  </si>
  <si>
    <t>Jan 2026</t>
  </si>
  <si>
    <t>IMF Communications Director Julie Kozack reaffirms the $214m quasi-fiscal loss figure</t>
  </si>
  <si>
    <t>$214m (unchanged)</t>
  </si>
  <si>
    <t>Citinewsroom / GBC</t>
  </si>
  <si>
    <t>GoldBod CEO states GoldBod itself has recorded no losses; cites unaudited surplus estimate</t>
  </si>
  <si>
    <t>GH₵700-800m surplus est.</t>
  </si>
  <si>
    <t>Apr 2026</t>
  </si>
  <si>
    <t>GoldBod publishes FY2025 audited financial statements</t>
  </si>
  <si>
    <t>GH₵5.44bn overall surplus</t>
  </si>
  <si>
    <t>goldbod.gov.gh / Ghanaian Times</t>
  </si>
  <si>
    <t>Jul 2026</t>
  </si>
  <si>
    <t>Government, Bank of Ghana and GoldBod sign agreement transferring DGPP fully to GoldBod</t>
  </si>
  <si>
    <t>Modern Ghana / Ghanaweb</t>
  </si>
  <si>
    <t>GoldBod dismisses Minority Caucus claims of losses amid gold price decline</t>
  </si>
  <si>
    <t>23%+ gold price slump cited</t>
  </si>
  <si>
    <t>Graphic Online</t>
  </si>
  <si>
    <t>Aug 2026</t>
  </si>
  <si>
    <t>IMF 2026 Article IV Consultation &amp; Sixth Review published; DGPP losses re-quantified</t>
  </si>
  <si>
    <t>GH₵22bn (2025) / 1.5% of GDP</t>
  </si>
  <si>
    <t>Minority Leader Afenyo-Markin cites IMF Country Report No. 26/213 losses</t>
  </si>
  <si>
    <t>$1.7bn+ / GH₵1.7bn+ cited</t>
  </si>
  <si>
    <t>Adomonline</t>
  </si>
  <si>
    <t>Reading notes</t>
  </si>
  <si>
    <t>• The $1.7bn figure (Aug 2026) and the GH₵22bn / 1.5% of GDP figure describe the same underlying DGPP loss in different currencies and slightly different scopes; they are not additive with the earlier $214m figure, which covered only the first nine months of 2025.</t>
  </si>
  <si>
    <t>• GoldBod's fee structure is fixed and small relative to the programme: a statutory Assay Fee of 0.25% and a Service Charge of 0.5%, inherited from a 2023 PMMC-era agreement. This caps GoldBod's own trading upside and, under the pre-July-2026 structure, insulated it from the pricing risk that hit the BoG.</t>
  </si>
  <si>
    <t>• Government has separately budgeted GH₵5bn (about $429m) in the revised 2026 budget for GoldBod to fund gold purchases from small-scale miners directly, reflecting the DGPP handover.</t>
  </si>
  <si>
    <t>Sources</t>
  </si>
  <si>
    <t>Public reporting used to build this workbook — no client-provided or non-public data was used</t>
  </si>
  <si>
    <t>Publisher</t>
  </si>
  <si>
    <t>Title</t>
  </si>
  <si>
    <t>URL</t>
  </si>
  <si>
    <t>Ghana Gold Board</t>
  </si>
  <si>
    <t>Ghana Gold Board Publishes Audited Financials For 2025 Fiscal Year</t>
  </si>
  <si>
    <t>https://goldbod.gov.gh/ghana-gold-board-publishes-audited-financials-for-2025-fiscal-year/</t>
  </si>
  <si>
    <t>Ghanaian Times</t>
  </si>
  <si>
    <t>GoldBod generates unprecedented overall surplus of GH¢5.46bn in 2025</t>
  </si>
  <si>
    <t>https://ghanaiantimes.com.gh/goldbod-generates-unprecedented-overall-surplus-of-gh%C2%A2-5-46bn-in-2025/</t>
  </si>
  <si>
    <t>The Herald Ghana</t>
  </si>
  <si>
    <t>GoldBod records GH₵5.44bn surplus in 2025 audited accounts</t>
  </si>
  <si>
    <t>https://theheraldghana.com/goldbod-records-gh%E2%82%B55-44bn-surplus-in-2025-audited-accounts/</t>
  </si>
  <si>
    <t>MyJoyOnline</t>
  </si>
  <si>
    <t>GoldBod triples revenue, cuts spending and generates operational surplus of GH₵909.8m for 2025</t>
  </si>
  <si>
    <t>https://www.myjoyonline.com/goldbod-triples-revenue-cuts-spending-and-generates-operational-surplus-of-gh%E2%82%B5909-8m-for-2025/</t>
  </si>
  <si>
    <t>GoldBod records GH₵5.4 billion surplus for 2025</t>
  </si>
  <si>
    <t>https://www.ghanaweb.com/GhanaHomePage/business/GoldBod-records-GH-5-4-billion-surplus-for-2025-2032243</t>
  </si>
  <si>
    <t>GoldBod Cash Reserves Surge to GH₵8.77 Billion in First Year</t>
  </si>
  <si>
    <t>https://goldbod.gov.gh/news/goldbod-cash-reserves-surge-to-ghghs877-billion-in-first-year-of-operations</t>
  </si>
  <si>
    <t>GoldBod rejects IMF claims of $214m loss in BoG Gold-for-Reserve program</t>
  </si>
  <si>
    <t>https://www.ghanaweb.com/GhanaHomePage/business/GoldBod-rejects-IMF-claims-of-214m-loss-in-BoG-Gold-for-Reserve-program-2015167</t>
  </si>
  <si>
    <t>Not a Goldbod Loss: IMF Clarifies $214m Figure as Policy Accounting</t>
  </si>
  <si>
    <t>https://goldbod.gov.gh/not-a-goldbod-loss-imf-clarifies-214m-figure-as-policy-accounting/</t>
  </si>
  <si>
    <t>Citinewsroom</t>
  </si>
  <si>
    <t>IMF insists on $214m Goldbod loss, urges risk management reforms</t>
  </si>
  <si>
    <t>https://www.citinewsroom.com/2026/01/imf-defends-214m-loss-finding-on-goldbod-urges-risk-management-reforms/</t>
  </si>
  <si>
    <t>Modern Ghana</t>
  </si>
  <si>
    <t>The layman's version: IMF 2026 Article IV Consultation and Sixth Review (Ghana)</t>
  </si>
  <si>
    <t>https://www.ghanamma.com/2026/08/12/the-laymans-version-imf-2026-article-iv-consultation-and-sixth-review-ghana-2nd-series/</t>
  </si>
  <si>
    <t>IMF calls on BoG to stop quasi-fiscal activities amid GH¢22bn gold losses</t>
  </si>
  <si>
    <t>https://www.ghanaweb.com/GhanaHomePage/business/IMF-calls-on-BoG-to-stop-quasi-fiscal-activities-amid-GH-22bn-gold-losses-2046574</t>
  </si>
  <si>
    <t>Briefs.co</t>
  </si>
  <si>
    <t>Ghana Shifts Gold Buying to Goldbod with $429M Budget Allocation</t>
  </si>
  <si>
    <t>https://www.briefs.co/news/ghana-shifts-gold-buying-to-goldbod-with-429m-budget-allocat/</t>
  </si>
  <si>
    <t>'GoldBod is failing' - Afenyo-Markin cites IMF report on $1.7bn losses</t>
  </si>
  <si>
    <t>https://www.adomonline.com/goldbod-is-failing-afenyo-markin-cites-imf-report-on-1-7bn-losses/</t>
  </si>
  <si>
    <t>The Sikaman Times</t>
  </si>
  <si>
    <t>IMF: GoldBod must cut gold purchase costs as BoG losses remain a concern</t>
  </si>
  <si>
    <t>https://sikamantimes.com/imf-goldbod-must-cut-gold-purchase-costs-as-bog-losses-remain-a-concern/</t>
  </si>
  <si>
    <t>Wikipedia</t>
  </si>
  <si>
    <t>Ghana GoldBod</t>
  </si>
  <si>
    <t>https://en.wikipedia.org/wiki/Ghana_GoldBod</t>
  </si>
  <si>
    <t>All figures are drawn from public news coverage of GoldBod's audited and previously unaudited financial statements, and from IMF and government statements reported in Ghanaian media. This workbook has not been checked against the primary audited PDF (Auditor-General's report) because it was not located at a fetchable public URL at the time of writing. Treat figures as accurate to the press summaries cited, and revisit against the primary document if precision below the cedi matters for your use case.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</si>
</sst>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11" x14ac:knownFonts="1">
    <font>
      <sz val="11"/>
      <color theme="1"/>
      <name val="Calibri"/>
      <family val="2"/>
      <charset val="1"/>
    </font>
    <font>
      <b/>
      <sz val="14"/>
      <color rgb="FFFFFFFF"/>
      <name val="Arial"/>
      <charset val="1"/>
    </font>
    <font>
      <i/>
      <sz val="10"/>
      <color rgb="FF595959"/>
      <name val="Arial"/>
      <charset val="1"/>
    </font>
    <font>
      <b/>
      <sz val="11"/>
      <color rgb="FF1F4E2C"/>
      <name val="Arial"/>
      <charset val="1"/>
    </font>
    <font>
      <b/>
      <sz val="10"/>
      <name val="Arial"/>
      <charset val="1"/>
    </font>
    <font>
      <sz val="10"/>
      <name val="Arial"/>
      <charset val="1"/>
    </font>
    <font>
      <b/>
      <sz val="10"/>
      <color rgb="FFFFFFFF"/>
      <name val="Arial"/>
      <charset val="1"/>
    </font>
    <font>
      <sz val="10"/>
      <color rgb="FF0000FF"/>
      <name val="Arial"/>
      <charset val="1"/>
    </font>
    <font>
      <sz val="10"/>
      <color rgb="FF000000"/>
      <name val="Arial"/>
      <charset val="1"/>
    </font>
    <font>
      <i/>
      <sz val="9"/>
      <color rgb="FF7F7F7F"/>
      <name val="Arial"/>
      <charset val="1"/>
    </font>
    <font>
      <sz val="9"/>
      <color rgb="FF0563C1"/>
      <name val="Arial"/>
      <charset val="1"/>
    </font>
  </fonts>
  <fills count="5">
    <fill>
      <patternFill patternType="none"/>
    </fill>
    <fill>
      <patternFill patternType="gray125"/>
    </fill>
    <fill>
      <patternFill patternType="solid">
        <fgColor rgb="FF1F4E2C"/>
        <bgColor rgb="FF2E5B3A"/>
      </patternFill>
    </fill>
    <fill>
      <patternFill patternType="solid">
        <fgColor rgb="FFE7EFE9"/>
        <bgColor rgb="FFFFFFFF"/>
      </patternFill>
    </fill>
    <fill>
      <patternFill patternType="solid">
        <fgColor rgb="FF2E5B3A"/>
        <bgColor rgb="FF1F4E2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0">
    <xf numFmtId="0" fontId="0" fillId="0" borderId="0" xfId="0"/>
    <xf numFmtId="0" fontId="9" fillId="0" borderId="0" xfId="0" applyFont="1" applyAlignment="1">
      <alignment vertical="top" wrapText="1"/>
    </xf>
    <xf numFmtId="0" fontId="9" fillId="0" borderId="0" xfId="0" applyFont="1" applyAlignment="1">
      <alignment wrapText="1"/>
    </xf>
    <xf numFmtId="0" fontId="5" fillId="0" borderId="0" xfId="0" applyFont="1" applyAlignment="1">
      <alignment vertical="top" wrapText="1"/>
    </xf>
    <xf numFmtId="0" fontId="3" fillId="3" borderId="0" xfId="0" applyFont="1" applyFill="1"/>
    <xf numFmtId="0" fontId="2" fillId="0" borderId="0" xfId="0" applyFont="1"/>
    <xf numFmtId="0" fontId="1" fillId="2" borderId="0" xfId="0" applyFont="1" applyFill="1" applyAlignment="1">
      <alignment horizontal="left" vertical="center" indent="1"/>
    </xf>
    <xf numFmtId="0" fontId="4" fillId="0" borderId="0" xfId="0" applyFont="1"/>
    <xf numFmtId="0" fontId="6" fillId="4" borderId="1" xfId="0" applyFont="1" applyFill="1" applyBorder="1" applyAlignment="1">
      <alignment horizontal="left" vertical="center" wrapText="1"/>
    </xf>
    <xf numFmtId="0" fontId="6" fillId="4" borderId="1" xfId="0" applyFont="1" applyFill="1" applyBorder="1" applyAlignment="1">
      <alignment horizontal="center" vertical="center" wrapText="1"/>
    </xf>
    <xf numFmtId="0" fontId="5" fillId="0" borderId="1" xfId="0" applyFont="1" applyBorder="1"/>
    <xf numFmtId="164" fontId="7" fillId="0" borderId="1" xfId="0" applyNumberFormat="1" applyFont="1" applyBorder="1"/>
    <xf numFmtId="165" fontId="8" fillId="0" borderId="1" xfId="0" applyNumberFormat="1" applyFont="1" applyBorder="1"/>
    <xf numFmtId="0" fontId="0" fillId="0" borderId="1" xfId="0" applyBorder="1"/>
    <xf numFmtId="0" fontId="9" fillId="0" borderId="1" xfId="0" applyFont="1" applyBorder="1"/>
    <xf numFmtId="0" fontId="4" fillId="0" borderId="1" xfId="0" applyFont="1" applyBorder="1"/>
    <xf numFmtId="164" fontId="8" fillId="0" borderId="1" xfId="0" applyNumberFormat="1" applyFont="1" applyBorder="1"/>
    <xf numFmtId="0" fontId="9" fillId="0" borderId="1" xfId="0" applyFont="1" applyBorder="1" applyAlignment="1">
      <alignment wrapText="1"/>
    </xf>
    <xf numFmtId="0" fontId="5" fillId="0" borderId="1" xfId="0" applyFont="1" applyBorder="1" applyAlignment="1">
      <alignment wrapText="1"/>
    </xf>
    <xf numFmtId="0" fontId="10" fillId="0" borderId="1" xfId="0" applyFont="1" applyBorder="1" applyAlignment="1">
      <alignment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E7EFE9"/>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2E5B3A"/>
      <rgbColor rgb="FF993300"/>
      <rgbColor rgb="FF993366"/>
      <rgbColor rgb="FF333399"/>
      <rgbColor rgb="FF1F4E2C"/>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6"/>
  <sheetViews>
    <sheetView showGridLines="0" zoomScaleNormal="100" workbookViewId="0"/>
  </sheetViews>
  <sheetFormatPr defaultColWidth="8.6640625" defaultRowHeight="14.4" x14ac:dyDescent="0.3"/>
  <cols>
    <col min="1" max="1" width="26" customWidth="1"/>
    <col min="2" max="5" width="20" customWidth="1"/>
    <col min="6" max="6" width="46" customWidth="1"/>
  </cols>
  <sheetData>
    <row r="1" spans="1:6" ht="25.5" customHeight="1" x14ac:dyDescent="0.3">
      <c r="A1" s="6" t="s">
        <v>0</v>
      </c>
      <c r="B1" s="6"/>
      <c r="C1" s="6"/>
      <c r="D1" s="6"/>
      <c r="E1" s="6"/>
      <c r="F1" s="6"/>
    </row>
    <row r="2" spans="1:6" ht="15.75" customHeight="1" x14ac:dyDescent="0.3">
      <c r="A2" s="5" t="s">
        <v>1</v>
      </c>
      <c r="B2" s="5"/>
      <c r="C2" s="5"/>
      <c r="D2" s="5"/>
      <c r="E2" s="5"/>
      <c r="F2" s="5"/>
    </row>
    <row r="4" spans="1:6" ht="18" customHeight="1" x14ac:dyDescent="0.3">
      <c r="A4" s="4" t="s">
        <v>2</v>
      </c>
      <c r="B4" s="4"/>
      <c r="C4" s="4"/>
      <c r="D4" s="4"/>
      <c r="E4" s="4"/>
      <c r="F4" s="4"/>
    </row>
    <row r="6" spans="1:6" ht="27.75" customHeight="1" x14ac:dyDescent="0.3">
      <c r="A6" s="7" t="s">
        <v>3</v>
      </c>
      <c r="B6" s="3" t="s">
        <v>4</v>
      </c>
      <c r="C6" s="3"/>
      <c r="D6" s="3"/>
      <c r="E6" s="3"/>
      <c r="F6" s="3"/>
    </row>
    <row r="7" spans="1:6" ht="27.75" customHeight="1" x14ac:dyDescent="0.3">
      <c r="A7" s="7" t="s">
        <v>5</v>
      </c>
      <c r="B7" s="3" t="s">
        <v>6</v>
      </c>
      <c r="C7" s="3"/>
      <c r="D7" s="3"/>
      <c r="E7" s="3"/>
      <c r="F7" s="3"/>
    </row>
    <row r="8" spans="1:6" ht="27.75" customHeight="1" x14ac:dyDescent="0.3">
      <c r="A8" s="7" t="s">
        <v>7</v>
      </c>
      <c r="B8" s="3" t="s">
        <v>8</v>
      </c>
      <c r="C8" s="3"/>
      <c r="D8" s="3"/>
      <c r="E8" s="3"/>
      <c r="F8" s="3"/>
    </row>
    <row r="9" spans="1:6" ht="27.75" customHeight="1" x14ac:dyDescent="0.3">
      <c r="A9" s="7" t="s">
        <v>9</v>
      </c>
      <c r="B9" s="3" t="s">
        <v>10</v>
      </c>
      <c r="C9" s="3"/>
      <c r="D9" s="3"/>
      <c r="E9" s="3"/>
      <c r="F9" s="3"/>
    </row>
    <row r="10" spans="1:6" ht="27.75" customHeight="1" x14ac:dyDescent="0.3">
      <c r="A10" s="7" t="s">
        <v>11</v>
      </c>
      <c r="B10" s="3" t="s">
        <v>12</v>
      </c>
      <c r="C10" s="3"/>
      <c r="D10" s="3"/>
      <c r="E10" s="3"/>
      <c r="F10" s="3"/>
    </row>
    <row r="11" spans="1:6" ht="27.75" customHeight="1" x14ac:dyDescent="0.3">
      <c r="A11" s="7" t="s">
        <v>13</v>
      </c>
      <c r="B11" s="3" t="s">
        <v>14</v>
      </c>
      <c r="C11" s="3"/>
      <c r="D11" s="3"/>
      <c r="E11" s="3"/>
      <c r="F11" s="3"/>
    </row>
    <row r="12" spans="1:6" ht="27.75" customHeight="1" x14ac:dyDescent="0.3">
      <c r="A12" s="7" t="s">
        <v>15</v>
      </c>
      <c r="B12" s="3" t="s">
        <v>16</v>
      </c>
      <c r="C12" s="3"/>
      <c r="D12" s="3"/>
      <c r="E12" s="3"/>
      <c r="F12" s="3"/>
    </row>
    <row r="13" spans="1:6" ht="27.75" customHeight="1" x14ac:dyDescent="0.3">
      <c r="A13" s="7" t="s">
        <v>17</v>
      </c>
      <c r="B13" s="3" t="s">
        <v>18</v>
      </c>
      <c r="C13" s="3"/>
      <c r="D13" s="3"/>
      <c r="E13" s="3"/>
      <c r="F13" s="3"/>
    </row>
    <row r="14" spans="1:6" ht="27.75" customHeight="1" x14ac:dyDescent="0.3">
      <c r="A14" s="7" t="s">
        <v>19</v>
      </c>
      <c r="B14" s="3" t="s">
        <v>20</v>
      </c>
      <c r="C14" s="3"/>
      <c r="D14" s="3"/>
      <c r="E14" s="3"/>
      <c r="F14" s="3"/>
    </row>
    <row r="16" spans="1:6" ht="18" customHeight="1" x14ac:dyDescent="0.3">
      <c r="A16" s="4" t="s">
        <v>21</v>
      </c>
      <c r="B16" s="4"/>
      <c r="C16" s="4"/>
      <c r="D16" s="4"/>
      <c r="E16" s="4"/>
      <c r="F16" s="4"/>
    </row>
    <row r="18" spans="1:6" ht="15" customHeight="1" x14ac:dyDescent="0.3">
      <c r="A18" s="3" t="s">
        <v>22</v>
      </c>
      <c r="B18" s="3"/>
      <c r="C18" s="3"/>
      <c r="D18" s="3"/>
      <c r="E18" s="3"/>
      <c r="F18" s="3"/>
    </row>
    <row r="19" spans="1:6" x14ac:dyDescent="0.3">
      <c r="A19" s="3"/>
      <c r="B19" s="3"/>
      <c r="C19" s="3"/>
      <c r="D19" s="3"/>
      <c r="E19" s="3"/>
      <c r="F19" s="3"/>
    </row>
    <row r="20" spans="1:6" x14ac:dyDescent="0.3">
      <c r="A20" s="3"/>
      <c r="B20" s="3"/>
      <c r="C20" s="3"/>
      <c r="D20" s="3"/>
      <c r="E20" s="3"/>
      <c r="F20" s="3"/>
    </row>
    <row r="22" spans="1:6" ht="18" customHeight="1" x14ac:dyDescent="0.3">
      <c r="A22" s="4" t="s">
        <v>23</v>
      </c>
      <c r="B22" s="4"/>
      <c r="C22" s="4"/>
      <c r="D22" s="4"/>
      <c r="E22" s="4"/>
      <c r="F22" s="4"/>
    </row>
    <row r="24" spans="1:6" x14ac:dyDescent="0.3">
      <c r="A24" s="8" t="s">
        <v>24</v>
      </c>
      <c r="B24" s="9" t="s">
        <v>25</v>
      </c>
      <c r="C24" s="9" t="s">
        <v>26</v>
      </c>
      <c r="D24" s="9" t="s">
        <v>27</v>
      </c>
      <c r="E24" s="9"/>
    </row>
    <row r="25" spans="1:6" x14ac:dyDescent="0.3">
      <c r="A25" s="10" t="s">
        <v>28</v>
      </c>
      <c r="B25" s="11">
        <v>5554000000</v>
      </c>
      <c r="C25" s="11">
        <v>308140000</v>
      </c>
      <c r="D25" s="12">
        <f>IF(C25=0,"n/a",(B25-C25)/C25)</f>
        <v>17.024274680340106</v>
      </c>
      <c r="E25" s="13"/>
    </row>
    <row r="26" spans="1:6" x14ac:dyDescent="0.3">
      <c r="A26" s="10" t="s">
        <v>29</v>
      </c>
      <c r="B26" s="11">
        <v>983962564</v>
      </c>
      <c r="C26" s="11">
        <v>307786982</v>
      </c>
      <c r="D26" s="12">
        <f>IF(C26=0,"n/a",(B26-C26)/C26)</f>
        <v>2.1968946756818974</v>
      </c>
      <c r="E26" s="13"/>
    </row>
    <row r="27" spans="1:6" x14ac:dyDescent="0.3">
      <c r="A27" s="10" t="s">
        <v>30</v>
      </c>
      <c r="B27" s="11">
        <v>109590000</v>
      </c>
      <c r="C27" s="11">
        <v>129660000</v>
      </c>
      <c r="D27" s="12">
        <f>IF(C27=0,"n/a",(B27-C27)/C27)</f>
        <v>-0.15478944932901434</v>
      </c>
      <c r="E27" s="13"/>
    </row>
    <row r="28" spans="1:6" x14ac:dyDescent="0.3">
      <c r="A28" s="10" t="s">
        <v>31</v>
      </c>
      <c r="B28" s="11">
        <v>909713825</v>
      </c>
      <c r="C28" s="14" t="s">
        <v>32</v>
      </c>
      <c r="D28" s="14" t="s">
        <v>32</v>
      </c>
      <c r="E28" s="13"/>
    </row>
    <row r="29" spans="1:6" x14ac:dyDescent="0.3">
      <c r="A29" s="10" t="s">
        <v>33</v>
      </c>
      <c r="B29" s="11">
        <v>5457413825</v>
      </c>
      <c r="C29" s="11">
        <v>185342031</v>
      </c>
      <c r="D29" s="12">
        <f t="shared" ref="D29:D34" si="0">IF(C29=0,"n/a",(B29-C29)/C29)</f>
        <v>28.445095618920892</v>
      </c>
      <c r="E29" s="13"/>
    </row>
    <row r="30" spans="1:6" x14ac:dyDescent="0.3">
      <c r="A30" s="10" t="s">
        <v>34</v>
      </c>
      <c r="B30" s="11">
        <v>9468221622</v>
      </c>
      <c r="C30" s="11">
        <v>1642607532</v>
      </c>
      <c r="D30" s="12">
        <f t="shared" si="0"/>
        <v>4.7641411216906562</v>
      </c>
      <c r="E30" s="13"/>
    </row>
    <row r="31" spans="1:6" x14ac:dyDescent="0.3">
      <c r="A31" s="10" t="s">
        <v>35</v>
      </c>
      <c r="B31" s="11">
        <v>3948612922</v>
      </c>
      <c r="C31" s="11">
        <v>1518822464</v>
      </c>
      <c r="D31" s="12">
        <f t="shared" si="0"/>
        <v>1.5997856995088533</v>
      </c>
      <c r="E31" s="13"/>
    </row>
    <row r="32" spans="1:6" x14ac:dyDescent="0.3">
      <c r="A32" s="10" t="s">
        <v>36</v>
      </c>
      <c r="B32" s="11">
        <v>8770555176</v>
      </c>
      <c r="C32" s="11">
        <v>738175990</v>
      </c>
      <c r="D32" s="12">
        <f t="shared" si="0"/>
        <v>10.881387764996258</v>
      </c>
      <c r="E32" s="13"/>
    </row>
    <row r="33" spans="1:6" x14ac:dyDescent="0.3">
      <c r="A33" s="10" t="s">
        <v>37</v>
      </c>
      <c r="B33" s="11">
        <v>0</v>
      </c>
      <c r="C33" s="11">
        <v>46038551</v>
      </c>
      <c r="D33" s="12">
        <f t="shared" si="0"/>
        <v>-1</v>
      </c>
      <c r="E33" s="13"/>
    </row>
    <row r="34" spans="1:6" x14ac:dyDescent="0.3">
      <c r="A34" s="10" t="s">
        <v>38</v>
      </c>
      <c r="B34" s="11">
        <v>17000000</v>
      </c>
      <c r="C34" s="11">
        <v>30000000</v>
      </c>
      <c r="D34" s="12">
        <f t="shared" si="0"/>
        <v>-0.43333333333333335</v>
      </c>
      <c r="E34" s="13"/>
    </row>
    <row r="36" spans="1:6" ht="27.75" customHeight="1" x14ac:dyDescent="0.3">
      <c r="A36" s="2" t="s">
        <v>39</v>
      </c>
      <c r="B36" s="2"/>
      <c r="C36" s="2"/>
      <c r="D36" s="2"/>
      <c r="E36" s="2"/>
      <c r="F36" s="2"/>
    </row>
  </sheetData>
  <mergeCells count="16">
    <mergeCell ref="A36:F36"/>
    <mergeCell ref="B13:F13"/>
    <mergeCell ref="B14:F14"/>
    <mergeCell ref="A16:F16"/>
    <mergeCell ref="A18:F20"/>
    <mergeCell ref="A22:F22"/>
    <mergeCell ref="B8:F8"/>
    <mergeCell ref="B9:F9"/>
    <mergeCell ref="B10:F10"/>
    <mergeCell ref="B11:F11"/>
    <mergeCell ref="B12:F12"/>
    <mergeCell ref="A1:F1"/>
    <mergeCell ref="A2:F2"/>
    <mergeCell ref="A4:F4"/>
    <mergeCell ref="B6:F6"/>
    <mergeCell ref="B7:F7"/>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0"/>
  <sheetViews>
    <sheetView showGridLines="0" zoomScaleNormal="100" workbookViewId="0"/>
  </sheetViews>
  <sheetFormatPr defaultColWidth="8.6640625" defaultRowHeight="14.4" x14ac:dyDescent="0.3"/>
  <cols>
    <col min="1" max="1" width="42" customWidth="1"/>
    <col min="2" max="3" width="18" customWidth="1"/>
    <col min="4" max="4" width="16" customWidth="1"/>
    <col min="5" max="5" width="50" customWidth="1"/>
  </cols>
  <sheetData>
    <row r="1" spans="1:5" ht="25.5" customHeight="1" x14ac:dyDescent="0.3">
      <c r="A1" s="6" t="s">
        <v>40</v>
      </c>
      <c r="B1" s="6"/>
      <c r="C1" s="6"/>
      <c r="D1" s="6"/>
      <c r="E1" s="6"/>
    </row>
    <row r="2" spans="1:5" ht="15.75" customHeight="1" x14ac:dyDescent="0.3">
      <c r="A2" s="5" t="s">
        <v>41</v>
      </c>
      <c r="B2" s="5"/>
      <c r="C2" s="5"/>
      <c r="D2" s="5"/>
      <c r="E2" s="5"/>
    </row>
    <row r="4" spans="1:5" x14ac:dyDescent="0.3">
      <c r="A4" s="8" t="s">
        <v>42</v>
      </c>
      <c r="B4" s="9" t="s">
        <v>25</v>
      </c>
      <c r="C4" s="9" t="s">
        <v>26</v>
      </c>
      <c r="D4" s="9" t="s">
        <v>43</v>
      </c>
      <c r="E4" s="9" t="s">
        <v>44</v>
      </c>
    </row>
    <row r="5" spans="1:5" x14ac:dyDescent="0.3">
      <c r="A5" s="15" t="s">
        <v>45</v>
      </c>
      <c r="B5" s="13"/>
      <c r="C5" s="13"/>
      <c r="D5" s="13"/>
    </row>
    <row r="6" spans="1:5" x14ac:dyDescent="0.3">
      <c r="A6" s="10" t="s">
        <v>46</v>
      </c>
      <c r="B6" s="11">
        <v>568341867</v>
      </c>
      <c r="C6" s="14" t="s">
        <v>47</v>
      </c>
      <c r="D6" s="14" t="s">
        <v>47</v>
      </c>
      <c r="E6" s="13"/>
    </row>
    <row r="7" spans="1:5" x14ac:dyDescent="0.3">
      <c r="A7" s="10" t="s">
        <v>48</v>
      </c>
      <c r="B7" s="11">
        <v>340426487</v>
      </c>
      <c r="C7" s="14" t="s">
        <v>47</v>
      </c>
      <c r="D7" s="14" t="s">
        <v>47</v>
      </c>
      <c r="E7" s="13"/>
    </row>
    <row r="8" spans="1:5" x14ac:dyDescent="0.3">
      <c r="A8" s="10" t="s">
        <v>49</v>
      </c>
      <c r="B8" s="11">
        <v>41853837</v>
      </c>
      <c r="C8" s="14" t="s">
        <v>47</v>
      </c>
      <c r="D8" s="14" t="s">
        <v>47</v>
      </c>
      <c r="E8" s="13"/>
    </row>
    <row r="9" spans="1:5" x14ac:dyDescent="0.3">
      <c r="A9" s="10" t="s">
        <v>50</v>
      </c>
      <c r="B9" s="11">
        <v>30770848</v>
      </c>
      <c r="C9" s="14" t="s">
        <v>47</v>
      </c>
      <c r="D9" s="14" t="s">
        <v>47</v>
      </c>
      <c r="E9" s="13"/>
    </row>
    <row r="10" spans="1:5" x14ac:dyDescent="0.3">
      <c r="A10" s="10" t="s">
        <v>51</v>
      </c>
      <c r="B10" s="11">
        <v>1622320</v>
      </c>
      <c r="C10" s="14" t="s">
        <v>47</v>
      </c>
      <c r="D10" s="14" t="s">
        <v>47</v>
      </c>
      <c r="E10" s="13"/>
    </row>
    <row r="11" spans="1:5" x14ac:dyDescent="0.3">
      <c r="A11" s="10" t="s">
        <v>52</v>
      </c>
      <c r="B11" s="11">
        <v>770700</v>
      </c>
      <c r="C11" s="14" t="s">
        <v>47</v>
      </c>
      <c r="D11" s="14" t="s">
        <v>47</v>
      </c>
      <c r="E11" s="13"/>
    </row>
    <row r="12" spans="1:5" ht="46.8" x14ac:dyDescent="0.3">
      <c r="A12" s="15" t="s">
        <v>29</v>
      </c>
      <c r="B12" s="16">
        <f>SUM(B6:B11)</f>
        <v>983786059</v>
      </c>
      <c r="C12" s="11">
        <v>307786982</v>
      </c>
      <c r="D12" s="12">
        <f>IF(C12=0,"n/a",(B12-C12)/C12)</f>
        <v>2.1963212108821417</v>
      </c>
      <c r="E12" s="17" t="s">
        <v>53</v>
      </c>
    </row>
    <row r="13" spans="1:5" x14ac:dyDescent="0.3">
      <c r="A13" s="10" t="s">
        <v>54</v>
      </c>
      <c r="B13" s="11">
        <v>35337378</v>
      </c>
      <c r="C13" s="11">
        <v>357444</v>
      </c>
      <c r="D13" s="12">
        <f>IF(C13=0,"n/a",(B13-C13)/C13)</f>
        <v>97.861298553060067</v>
      </c>
      <c r="E13" s="13"/>
    </row>
    <row r="15" spans="1:5" ht="24" x14ac:dyDescent="0.3">
      <c r="A15" s="15" t="s">
        <v>55</v>
      </c>
      <c r="B15" s="11">
        <v>4547700000</v>
      </c>
      <c r="C15" s="14" t="s">
        <v>32</v>
      </c>
      <c r="D15" s="14" t="s">
        <v>32</v>
      </c>
      <c r="E15" s="17" t="s">
        <v>56</v>
      </c>
    </row>
    <row r="17" spans="1:5" ht="35.4" x14ac:dyDescent="0.3">
      <c r="A17" s="15" t="s">
        <v>57</v>
      </c>
      <c r="B17" s="11">
        <v>5554000000</v>
      </c>
      <c r="C17" s="11">
        <v>308140000</v>
      </c>
      <c r="D17" s="12">
        <f>IF(C17=0,"n/a",(B17-C17)/C17)</f>
        <v>17.024274680340106</v>
      </c>
      <c r="E17" s="17" t="s">
        <v>58</v>
      </c>
    </row>
    <row r="19" spans="1:5" ht="18" customHeight="1" x14ac:dyDescent="0.3">
      <c r="A19" s="4" t="s">
        <v>59</v>
      </c>
      <c r="B19" s="4"/>
      <c r="C19" s="4"/>
      <c r="D19" s="4"/>
      <c r="E19" s="4"/>
    </row>
    <row r="20" spans="1:5" x14ac:dyDescent="0.3">
      <c r="A20" s="10" t="s">
        <v>60</v>
      </c>
      <c r="B20" s="11">
        <v>37381334</v>
      </c>
      <c r="C20" s="14" t="s">
        <v>47</v>
      </c>
      <c r="D20" s="14" t="s">
        <v>47</v>
      </c>
      <c r="E20" s="13"/>
    </row>
    <row r="21" spans="1:5" x14ac:dyDescent="0.3">
      <c r="A21" s="10" t="s">
        <v>61</v>
      </c>
      <c r="B21" s="11">
        <v>28338703</v>
      </c>
      <c r="C21" s="14" t="s">
        <v>47</v>
      </c>
      <c r="D21" s="14" t="s">
        <v>47</v>
      </c>
      <c r="E21" s="13"/>
    </row>
    <row r="22" spans="1:5" x14ac:dyDescent="0.3">
      <c r="A22" s="10" t="s">
        <v>62</v>
      </c>
      <c r="B22" s="11">
        <v>38915495</v>
      </c>
      <c r="C22" s="14" t="s">
        <v>47</v>
      </c>
      <c r="D22" s="14" t="s">
        <v>47</v>
      </c>
      <c r="E22" s="13"/>
    </row>
    <row r="23" spans="1:5" x14ac:dyDescent="0.3">
      <c r="A23" s="10" t="s">
        <v>63</v>
      </c>
      <c r="B23" s="11">
        <v>14294116</v>
      </c>
      <c r="C23" s="14" t="s">
        <v>47</v>
      </c>
      <c r="D23" s="14" t="s">
        <v>47</v>
      </c>
      <c r="E23" s="13"/>
    </row>
    <row r="24" spans="1:5" x14ac:dyDescent="0.3">
      <c r="A24" s="10" t="s">
        <v>64</v>
      </c>
      <c r="B24" s="11">
        <v>11248172</v>
      </c>
      <c r="C24" s="14" t="s">
        <v>47</v>
      </c>
      <c r="D24" s="14" t="s">
        <v>47</v>
      </c>
      <c r="E24" s="13"/>
    </row>
    <row r="25" spans="1:5" x14ac:dyDescent="0.3">
      <c r="A25" s="10" t="s">
        <v>65</v>
      </c>
      <c r="B25" s="11">
        <v>5263873</v>
      </c>
      <c r="C25" s="14" t="s">
        <v>47</v>
      </c>
      <c r="D25" s="14" t="s">
        <v>47</v>
      </c>
      <c r="E25" s="13"/>
    </row>
    <row r="26" spans="1:5" ht="46.8" x14ac:dyDescent="0.3">
      <c r="A26" s="15" t="s">
        <v>66</v>
      </c>
      <c r="B26" s="11">
        <v>109590000</v>
      </c>
      <c r="C26" s="11">
        <v>129660000</v>
      </c>
      <c r="D26" s="12">
        <f>IF(C26=0,"n/a",(B26-C26)/C26)</f>
        <v>-0.15478944932901434</v>
      </c>
      <c r="E26" s="17" t="s">
        <v>67</v>
      </c>
    </row>
    <row r="28" spans="1:5" ht="18" customHeight="1" x14ac:dyDescent="0.3">
      <c r="A28" s="4" t="s">
        <v>68</v>
      </c>
      <c r="B28" s="4"/>
      <c r="C28" s="4"/>
      <c r="D28" s="4"/>
      <c r="E28" s="4"/>
    </row>
    <row r="29" spans="1:5" ht="35.4" x14ac:dyDescent="0.3">
      <c r="A29" s="15" t="s">
        <v>31</v>
      </c>
      <c r="B29" s="16">
        <f>B12+B13-B26</f>
        <v>909533437</v>
      </c>
      <c r="C29" s="13"/>
      <c r="D29" s="13"/>
      <c r="E29" s="17" t="s">
        <v>69</v>
      </c>
    </row>
    <row r="30" spans="1:5" ht="35.4" x14ac:dyDescent="0.3">
      <c r="A30" s="15" t="s">
        <v>70</v>
      </c>
      <c r="B30" s="11">
        <v>5457413825</v>
      </c>
      <c r="C30" s="11">
        <v>185342031</v>
      </c>
      <c r="D30" s="12">
        <f>IF(C30=0,"n/a",(B30-C30)/C30)</f>
        <v>28.445095618920892</v>
      </c>
      <c r="E30" s="17" t="s">
        <v>71</v>
      </c>
    </row>
  </sheetData>
  <mergeCells count="4">
    <mergeCell ref="A1:E1"/>
    <mergeCell ref="A2:E2"/>
    <mergeCell ref="A19:E19"/>
    <mergeCell ref="A28:E2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6"/>
  <sheetViews>
    <sheetView showGridLines="0" zoomScaleNormal="100" workbookViewId="0"/>
  </sheetViews>
  <sheetFormatPr defaultColWidth="8.6640625" defaultRowHeight="14.4" x14ac:dyDescent="0.3"/>
  <cols>
    <col min="1" max="1" width="40" customWidth="1"/>
    <col min="2" max="3" width="18" customWidth="1"/>
    <col min="4" max="4" width="16" customWidth="1"/>
    <col min="5" max="5" width="44" customWidth="1"/>
  </cols>
  <sheetData>
    <row r="1" spans="1:5" ht="25.5" customHeight="1" x14ac:dyDescent="0.3">
      <c r="A1" s="6" t="s">
        <v>72</v>
      </c>
      <c r="B1" s="6"/>
      <c r="C1" s="6"/>
      <c r="D1" s="6"/>
      <c r="E1" s="6"/>
    </row>
    <row r="2" spans="1:5" ht="15.75" customHeight="1" x14ac:dyDescent="0.3">
      <c r="A2" s="5" t="s">
        <v>41</v>
      </c>
      <c r="B2" s="5"/>
      <c r="C2" s="5"/>
      <c r="D2" s="5"/>
      <c r="E2" s="5"/>
    </row>
    <row r="4" spans="1:5" x14ac:dyDescent="0.3">
      <c r="A4" s="8" t="s">
        <v>42</v>
      </c>
      <c r="B4" s="9" t="s">
        <v>25</v>
      </c>
      <c r="C4" s="9" t="s">
        <v>26</v>
      </c>
      <c r="D4" s="9" t="s">
        <v>43</v>
      </c>
      <c r="E4" s="9" t="s">
        <v>44</v>
      </c>
    </row>
    <row r="5" spans="1:5" ht="24" x14ac:dyDescent="0.3">
      <c r="A5" s="10" t="s">
        <v>36</v>
      </c>
      <c r="B5" s="11">
        <v>8770555176</v>
      </c>
      <c r="C5" s="11">
        <v>738175990</v>
      </c>
      <c r="D5" s="12">
        <f>IF(C5=0,"n/a",(B5-C5)/C5)</f>
        <v>10.881387764996258</v>
      </c>
      <c r="E5" s="17" t="s">
        <v>73</v>
      </c>
    </row>
    <row r="6" spans="1:5" x14ac:dyDescent="0.3">
      <c r="A6" s="10" t="s">
        <v>34</v>
      </c>
      <c r="B6" s="11">
        <v>9468221622</v>
      </c>
      <c r="C6" s="11">
        <v>1642607532</v>
      </c>
      <c r="D6" s="12">
        <f>IF(C6=0,"n/a",(B6-C6)/C6)</f>
        <v>4.7641411216906562</v>
      </c>
      <c r="E6" s="17"/>
    </row>
    <row r="7" spans="1:5" ht="35.4" x14ac:dyDescent="0.3">
      <c r="A7" s="10" t="s">
        <v>35</v>
      </c>
      <c r="B7" s="11">
        <v>3948612922</v>
      </c>
      <c r="C7" s="11">
        <v>1518822464</v>
      </c>
      <c r="D7" s="12">
        <f>IF(C7=0,"n/a",(B7-C7)/C7)</f>
        <v>1.5997856995088533</v>
      </c>
      <c r="E7" s="17" t="s">
        <v>74</v>
      </c>
    </row>
    <row r="8" spans="1:5" ht="24" x14ac:dyDescent="0.3">
      <c r="A8" s="10" t="s">
        <v>38</v>
      </c>
      <c r="B8" s="11">
        <v>17000000</v>
      </c>
      <c r="C8" s="11">
        <v>30000000</v>
      </c>
      <c r="D8" s="12">
        <f>IF(C8=0,"n/a",(B8-C8)/C8)</f>
        <v>-0.43333333333333335</v>
      </c>
      <c r="E8" s="17" t="s">
        <v>75</v>
      </c>
    </row>
    <row r="9" spans="1:5" ht="24" x14ac:dyDescent="0.3">
      <c r="A9" s="10" t="s">
        <v>37</v>
      </c>
      <c r="B9" s="11">
        <v>0</v>
      </c>
      <c r="C9" s="11">
        <v>46038551</v>
      </c>
      <c r="D9" s="12">
        <f>IF(C9=0,"n/a",(B9-C9)/C9)</f>
        <v>-1</v>
      </c>
      <c r="E9" s="17" t="s">
        <v>76</v>
      </c>
    </row>
    <row r="11" spans="1:5" x14ac:dyDescent="0.3">
      <c r="A11" s="15" t="s">
        <v>77</v>
      </c>
      <c r="B11" s="16">
        <f>B6-B7</f>
        <v>5519608700</v>
      </c>
      <c r="C11" s="16">
        <f>C6-C7</f>
        <v>123785068</v>
      </c>
      <c r="D11" s="12">
        <f>IF(C11=0,"n/a",(B11-C11)/C11)</f>
        <v>43.590262696305182</v>
      </c>
      <c r="E11" s="13"/>
    </row>
    <row r="12" spans="1:5" ht="35.4" x14ac:dyDescent="0.3">
      <c r="A12" s="15" t="s">
        <v>78</v>
      </c>
      <c r="B12" s="12">
        <f>B7/B6</f>
        <v>0.41703849779193519</v>
      </c>
      <c r="C12" s="12">
        <f>C7/C6</f>
        <v>0.92464111749854072</v>
      </c>
      <c r="D12" s="13"/>
      <c r="E12" s="17" t="s">
        <v>79</v>
      </c>
    </row>
    <row r="14" spans="1:5" ht="15" customHeight="1" x14ac:dyDescent="0.3">
      <c r="A14" s="1" t="s">
        <v>80</v>
      </c>
      <c r="B14" s="1"/>
      <c r="C14" s="1"/>
      <c r="D14" s="1"/>
      <c r="E14" s="1"/>
    </row>
    <row r="15" spans="1:5" x14ac:dyDescent="0.3">
      <c r="A15" s="1"/>
      <c r="B15" s="1"/>
      <c r="C15" s="1"/>
      <c r="D15" s="1"/>
      <c r="E15" s="1"/>
    </row>
    <row r="16" spans="1:5" x14ac:dyDescent="0.3">
      <c r="A16" s="1"/>
      <c r="B16" s="1"/>
      <c r="C16" s="1"/>
      <c r="D16" s="1"/>
      <c r="E16" s="1"/>
    </row>
  </sheetData>
  <mergeCells count="3">
    <mergeCell ref="A1:E1"/>
    <mergeCell ref="A2:E2"/>
    <mergeCell ref="A14:E16"/>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9"/>
  <sheetViews>
    <sheetView showGridLines="0" zoomScaleNormal="100" workbookViewId="0"/>
  </sheetViews>
  <sheetFormatPr defaultColWidth="8.6640625" defaultRowHeight="14.4" x14ac:dyDescent="0.3"/>
  <cols>
    <col min="1" max="1" width="42" customWidth="1"/>
    <col min="2" max="3" width="18" customWidth="1"/>
    <col min="4" max="4" width="50" customWidth="1"/>
  </cols>
  <sheetData>
    <row r="1" spans="1:4" ht="25.5" customHeight="1" x14ac:dyDescent="0.3">
      <c r="A1" s="6" t="s">
        <v>81</v>
      </c>
      <c r="B1" s="6"/>
      <c r="C1" s="6"/>
      <c r="D1" s="6"/>
    </row>
    <row r="2" spans="1:4" ht="15.75" customHeight="1" x14ac:dyDescent="0.3">
      <c r="A2" s="5" t="s">
        <v>82</v>
      </c>
      <c r="B2" s="5"/>
      <c r="C2" s="5"/>
      <c r="D2" s="5"/>
    </row>
    <row r="4" spans="1:4" x14ac:dyDescent="0.3">
      <c r="A4" s="8" t="s">
        <v>83</v>
      </c>
      <c r="B4" s="9" t="s">
        <v>25</v>
      </c>
      <c r="C4" s="9" t="s">
        <v>26</v>
      </c>
      <c r="D4" s="9" t="s">
        <v>84</v>
      </c>
    </row>
    <row r="5" spans="1:4" ht="30" customHeight="1" x14ac:dyDescent="0.3">
      <c r="A5" s="18" t="s">
        <v>85</v>
      </c>
      <c r="B5" s="12">
        <f>'Income Statement'!B26/'Income Statement'!B12</f>
        <v>0.11139617094330059</v>
      </c>
      <c r="C5" s="12">
        <f>129660000/307786982</f>
        <v>0.42126538022326104</v>
      </c>
      <c r="D5" s="17" t="s">
        <v>86</v>
      </c>
    </row>
    <row r="6" spans="1:4" ht="30" customHeight="1" x14ac:dyDescent="0.3">
      <c r="A6" s="18" t="s">
        <v>87</v>
      </c>
      <c r="B6" s="12">
        <f>('Income Statement'!B12-'Income Statement'!B26)/'Income Statement'!B12</f>
        <v>0.88860382905669943</v>
      </c>
      <c r="C6" s="12">
        <f>(307786982-129660000)/307786982</f>
        <v>0.57873461977673901</v>
      </c>
      <c r="D6" s="17" t="s">
        <v>88</v>
      </c>
    </row>
    <row r="7" spans="1:4" ht="30" customHeight="1" x14ac:dyDescent="0.3">
      <c r="A7" s="18" t="s">
        <v>89</v>
      </c>
      <c r="B7" s="12">
        <f>'Income Statement'!B15/5554000000</f>
        <v>0.81881526827511708</v>
      </c>
      <c r="C7" s="14" t="s">
        <v>32</v>
      </c>
      <c r="D7" s="17" t="s">
        <v>90</v>
      </c>
    </row>
    <row r="8" spans="1:4" ht="30" customHeight="1" x14ac:dyDescent="0.3">
      <c r="A8" s="18" t="s">
        <v>78</v>
      </c>
      <c r="B8" s="12">
        <f>'Balance Sheet'!B7/'Balance Sheet'!B6</f>
        <v>0.41703849779193519</v>
      </c>
      <c r="C8" s="12">
        <f>'Balance Sheet'!C7/'Balance Sheet'!C6</f>
        <v>0.92464111749854072</v>
      </c>
      <c r="D8" s="17" t="s">
        <v>91</v>
      </c>
    </row>
    <row r="9" spans="1:4" ht="30" customHeight="1" x14ac:dyDescent="0.3">
      <c r="A9" s="18" t="s">
        <v>92</v>
      </c>
      <c r="B9" s="12">
        <f>'Balance Sheet'!B5/'Balance Sheet'!B7</f>
        <v>2.2211737005504335</v>
      </c>
      <c r="C9" s="12">
        <f>'Balance Sheet'!C5/'Balance Sheet'!C7</f>
        <v>0.48601861474706237</v>
      </c>
      <c r="D9" s="17" t="s">
        <v>93</v>
      </c>
    </row>
  </sheetData>
  <mergeCells count="2">
    <mergeCell ref="A1:D1"/>
    <mergeCell ref="A2:D2"/>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32"/>
  <sheetViews>
    <sheetView showGridLines="0" tabSelected="1" zoomScaleNormal="100" workbookViewId="0">
      <selection sqref="A1:D1"/>
    </sheetView>
  </sheetViews>
  <sheetFormatPr defaultColWidth="8.6640625" defaultRowHeight="14.4" x14ac:dyDescent="0.3"/>
  <cols>
    <col min="1" max="1" width="16" customWidth="1"/>
    <col min="2" max="2" width="60" customWidth="1"/>
    <col min="3" max="3" width="22" customWidth="1"/>
    <col min="4" max="4" width="18" customWidth="1"/>
  </cols>
  <sheetData>
    <row r="1" spans="1:4" ht="25.5" customHeight="1" x14ac:dyDescent="0.3">
      <c r="A1" s="6" t="s">
        <v>94</v>
      </c>
      <c r="B1" s="6"/>
      <c r="C1" s="6"/>
      <c r="D1" s="6"/>
    </row>
    <row r="2" spans="1:4" ht="15.75" customHeight="1" x14ac:dyDescent="0.3">
      <c r="A2" s="5" t="s">
        <v>95</v>
      </c>
      <c r="B2" s="5"/>
      <c r="C2" s="5"/>
      <c r="D2" s="5"/>
    </row>
    <row r="4" spans="1:4" ht="18" customHeight="1" x14ac:dyDescent="0.3">
      <c r="A4" s="4" t="s">
        <v>96</v>
      </c>
      <c r="B4" s="4"/>
      <c r="C4" s="4"/>
      <c r="D4" s="4"/>
    </row>
    <row r="5" spans="1:4" ht="15" customHeight="1" x14ac:dyDescent="0.3">
      <c r="A5" s="3" t="s">
        <v>97</v>
      </c>
      <c r="B5" s="3"/>
      <c r="C5" s="3"/>
      <c r="D5" s="3"/>
    </row>
    <row r="6" spans="1:4" x14ac:dyDescent="0.3">
      <c r="A6" s="3"/>
      <c r="B6" s="3"/>
      <c r="C6" s="3"/>
      <c r="D6" s="3"/>
    </row>
    <row r="7" spans="1:4" x14ac:dyDescent="0.3">
      <c r="A7" s="3"/>
      <c r="B7" s="3"/>
      <c r="C7" s="3"/>
      <c r="D7" s="3"/>
    </row>
    <row r="8" spans="1:4" x14ac:dyDescent="0.3">
      <c r="A8" s="3"/>
      <c r="B8" s="3"/>
      <c r="C8" s="3"/>
      <c r="D8" s="3"/>
    </row>
    <row r="9" spans="1:4" x14ac:dyDescent="0.3">
      <c r="A9" s="3"/>
      <c r="B9" s="3"/>
      <c r="C9" s="3"/>
      <c r="D9" s="3"/>
    </row>
    <row r="11" spans="1:4" ht="18" customHeight="1" x14ac:dyDescent="0.3">
      <c r="A11" s="4" t="s">
        <v>98</v>
      </c>
      <c r="B11" s="4"/>
      <c r="C11" s="4"/>
      <c r="D11" s="4"/>
    </row>
    <row r="12" spans="1:4" x14ac:dyDescent="0.3">
      <c r="A12" s="8" t="s">
        <v>99</v>
      </c>
      <c r="B12" s="9" t="s">
        <v>100</v>
      </c>
      <c r="C12" s="9" t="s">
        <v>101</v>
      </c>
      <c r="D12" s="9" t="s">
        <v>102</v>
      </c>
    </row>
    <row r="13" spans="1:4" ht="30" customHeight="1" x14ac:dyDescent="0.3">
      <c r="A13" s="10" t="s">
        <v>103</v>
      </c>
      <c r="B13" s="18" t="s">
        <v>104</v>
      </c>
      <c r="C13" s="18" t="s">
        <v>105</v>
      </c>
      <c r="D13" s="17" t="s">
        <v>106</v>
      </c>
    </row>
    <row r="14" spans="1:4" ht="30" customHeight="1" x14ac:dyDescent="0.3">
      <c r="A14" s="10" t="s">
        <v>107</v>
      </c>
      <c r="B14" s="18" t="s">
        <v>108</v>
      </c>
      <c r="C14" s="18" t="s">
        <v>105</v>
      </c>
      <c r="D14" s="17" t="s">
        <v>109</v>
      </c>
    </row>
    <row r="15" spans="1:4" ht="30" customHeight="1" x14ac:dyDescent="0.3">
      <c r="A15" s="10" t="s">
        <v>110</v>
      </c>
      <c r="B15" s="18" t="s">
        <v>111</v>
      </c>
      <c r="C15" s="18" t="s">
        <v>112</v>
      </c>
      <c r="D15" s="17" t="s">
        <v>109</v>
      </c>
    </row>
    <row r="16" spans="1:4" ht="30" customHeight="1" x14ac:dyDescent="0.3">
      <c r="A16" s="10" t="s">
        <v>113</v>
      </c>
      <c r="B16" s="18" t="s">
        <v>114</v>
      </c>
      <c r="C16" s="18" t="s">
        <v>115</v>
      </c>
      <c r="D16" s="17" t="s">
        <v>116</v>
      </c>
    </row>
    <row r="17" spans="1:4" ht="30" customHeight="1" x14ac:dyDescent="0.3">
      <c r="A17" s="10" t="s">
        <v>113</v>
      </c>
      <c r="B17" s="18" t="s">
        <v>117</v>
      </c>
      <c r="C17" s="18" t="s">
        <v>105</v>
      </c>
      <c r="D17" s="17" t="s">
        <v>118</v>
      </c>
    </row>
    <row r="18" spans="1:4" ht="30" customHeight="1" x14ac:dyDescent="0.3">
      <c r="A18" s="10" t="s">
        <v>119</v>
      </c>
      <c r="B18" s="18" t="s">
        <v>120</v>
      </c>
      <c r="C18" s="18" t="s">
        <v>121</v>
      </c>
      <c r="D18" s="17" t="s">
        <v>122</v>
      </c>
    </row>
    <row r="19" spans="1:4" ht="30" customHeight="1" x14ac:dyDescent="0.3">
      <c r="A19" s="10" t="s">
        <v>119</v>
      </c>
      <c r="B19" s="18" t="s">
        <v>123</v>
      </c>
      <c r="C19" s="18" t="s">
        <v>124</v>
      </c>
      <c r="D19" s="17" t="s">
        <v>109</v>
      </c>
    </row>
    <row r="20" spans="1:4" ht="30" customHeight="1" x14ac:dyDescent="0.3">
      <c r="A20" s="10" t="s">
        <v>125</v>
      </c>
      <c r="B20" s="18" t="s">
        <v>126</v>
      </c>
      <c r="C20" s="18" t="s">
        <v>127</v>
      </c>
      <c r="D20" s="17" t="s">
        <v>128</v>
      </c>
    </row>
    <row r="21" spans="1:4" ht="30" customHeight="1" x14ac:dyDescent="0.3">
      <c r="A21" s="10" t="s">
        <v>129</v>
      </c>
      <c r="B21" s="18" t="s">
        <v>130</v>
      </c>
      <c r="C21" s="18" t="s">
        <v>105</v>
      </c>
      <c r="D21" s="17" t="s">
        <v>131</v>
      </c>
    </row>
    <row r="22" spans="1:4" ht="30" customHeight="1" x14ac:dyDescent="0.3">
      <c r="A22" s="10" t="s">
        <v>129</v>
      </c>
      <c r="B22" s="18" t="s">
        <v>132</v>
      </c>
      <c r="C22" s="18" t="s">
        <v>133</v>
      </c>
      <c r="D22" s="17" t="s">
        <v>134</v>
      </c>
    </row>
    <row r="23" spans="1:4" ht="30" customHeight="1" x14ac:dyDescent="0.3">
      <c r="A23" s="10" t="s">
        <v>135</v>
      </c>
      <c r="B23" s="18" t="s">
        <v>136</v>
      </c>
      <c r="C23" s="18" t="s">
        <v>137</v>
      </c>
      <c r="D23" s="17" t="s">
        <v>131</v>
      </c>
    </row>
    <row r="24" spans="1:4" ht="30" customHeight="1" x14ac:dyDescent="0.3">
      <c r="A24" s="10" t="s">
        <v>135</v>
      </c>
      <c r="B24" s="18" t="s">
        <v>138</v>
      </c>
      <c r="C24" s="18" t="s">
        <v>139</v>
      </c>
      <c r="D24" s="17" t="s">
        <v>140</v>
      </c>
    </row>
    <row r="26" spans="1:4" ht="18" customHeight="1" x14ac:dyDescent="0.3">
      <c r="A26" s="4" t="s">
        <v>141</v>
      </c>
      <c r="B26" s="4"/>
      <c r="C26" s="4"/>
      <c r="D26" s="4"/>
    </row>
    <row r="27" spans="1:4" ht="15" customHeight="1" x14ac:dyDescent="0.3">
      <c r="A27" s="3" t="s">
        <v>142</v>
      </c>
      <c r="B27" s="3"/>
      <c r="C27" s="3"/>
      <c r="D27" s="3"/>
    </row>
    <row r="28" spans="1:4" x14ac:dyDescent="0.3">
      <c r="A28" s="3"/>
      <c r="B28" s="3"/>
      <c r="C28" s="3"/>
      <c r="D28" s="3"/>
    </row>
    <row r="29" spans="1:4" ht="15" customHeight="1" x14ac:dyDescent="0.3">
      <c r="A29" s="3" t="s">
        <v>143</v>
      </c>
      <c r="B29" s="3"/>
      <c r="C29" s="3"/>
      <c r="D29" s="3"/>
    </row>
    <row r="30" spans="1:4" x14ac:dyDescent="0.3">
      <c r="A30" s="3"/>
      <c r="B30" s="3"/>
      <c r="C30" s="3"/>
      <c r="D30" s="3"/>
    </row>
    <row r="31" spans="1:4" ht="15" customHeight="1" x14ac:dyDescent="0.3">
      <c r="A31" s="3" t="s">
        <v>144</v>
      </c>
      <c r="B31" s="3"/>
      <c r="C31" s="3"/>
      <c r="D31" s="3"/>
    </row>
    <row r="32" spans="1:4" x14ac:dyDescent="0.3">
      <c r="A32" s="3"/>
      <c r="B32" s="3"/>
      <c r="C32" s="3"/>
      <c r="D32" s="3"/>
    </row>
  </sheetData>
  <mergeCells count="9">
    <mergeCell ref="A26:D26"/>
    <mergeCell ref="A27:D28"/>
    <mergeCell ref="A29:D30"/>
    <mergeCell ref="A31:D32"/>
    <mergeCell ref="A1:D1"/>
    <mergeCell ref="A2:D2"/>
    <mergeCell ref="A4:D4"/>
    <mergeCell ref="A5:D9"/>
    <mergeCell ref="A11:D11"/>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23"/>
  <sheetViews>
    <sheetView showGridLines="0" zoomScaleNormal="100" workbookViewId="0"/>
  </sheetViews>
  <sheetFormatPr defaultColWidth="8.6640625" defaultRowHeight="14.4" x14ac:dyDescent="0.3"/>
  <cols>
    <col min="1" max="1" width="30" customWidth="1"/>
    <col min="2" max="2" width="55" customWidth="1"/>
    <col min="3" max="3" width="60" customWidth="1"/>
  </cols>
  <sheetData>
    <row r="1" spans="1:3" ht="25.5" customHeight="1" x14ac:dyDescent="0.3">
      <c r="A1" s="6" t="s">
        <v>145</v>
      </c>
      <c r="B1" s="6"/>
      <c r="C1" s="6"/>
    </row>
    <row r="2" spans="1:3" ht="15.75" customHeight="1" x14ac:dyDescent="0.3">
      <c r="A2" s="5" t="s">
        <v>146</v>
      </c>
      <c r="B2" s="5"/>
      <c r="C2" s="5"/>
    </row>
    <row r="4" spans="1:3" x14ac:dyDescent="0.3">
      <c r="A4" s="8" t="s">
        <v>147</v>
      </c>
      <c r="B4" s="9" t="s">
        <v>148</v>
      </c>
      <c r="C4" s="9" t="s">
        <v>149</v>
      </c>
    </row>
    <row r="5" spans="1:3" ht="25.5" customHeight="1" x14ac:dyDescent="0.3">
      <c r="A5" s="10" t="s">
        <v>150</v>
      </c>
      <c r="B5" s="18" t="s">
        <v>151</v>
      </c>
      <c r="C5" s="19" t="s">
        <v>152</v>
      </c>
    </row>
    <row r="6" spans="1:3" ht="25.5" customHeight="1" x14ac:dyDescent="0.3">
      <c r="A6" s="10" t="s">
        <v>153</v>
      </c>
      <c r="B6" s="18" t="s">
        <v>154</v>
      </c>
      <c r="C6" s="19" t="s">
        <v>155</v>
      </c>
    </row>
    <row r="7" spans="1:3" ht="25.5" customHeight="1" x14ac:dyDescent="0.3">
      <c r="A7" s="10" t="s">
        <v>156</v>
      </c>
      <c r="B7" s="18" t="s">
        <v>157</v>
      </c>
      <c r="C7" s="19" t="s">
        <v>158</v>
      </c>
    </row>
    <row r="8" spans="1:3" ht="25.5" customHeight="1" x14ac:dyDescent="0.3">
      <c r="A8" s="10" t="s">
        <v>159</v>
      </c>
      <c r="B8" s="18" t="s">
        <v>160</v>
      </c>
      <c r="C8" s="19" t="s">
        <v>161</v>
      </c>
    </row>
    <row r="9" spans="1:3" ht="25.5" customHeight="1" x14ac:dyDescent="0.3">
      <c r="A9" s="10" t="s">
        <v>118</v>
      </c>
      <c r="B9" s="18" t="s">
        <v>162</v>
      </c>
      <c r="C9" s="19" t="s">
        <v>163</v>
      </c>
    </row>
    <row r="10" spans="1:3" ht="25.5" customHeight="1" x14ac:dyDescent="0.3">
      <c r="A10" s="10" t="s">
        <v>150</v>
      </c>
      <c r="B10" s="18" t="s">
        <v>164</v>
      </c>
      <c r="C10" s="19" t="s">
        <v>165</v>
      </c>
    </row>
    <row r="11" spans="1:3" ht="25.5" customHeight="1" x14ac:dyDescent="0.3">
      <c r="A11" s="10" t="s">
        <v>150</v>
      </c>
      <c r="B11" s="18" t="s">
        <v>166</v>
      </c>
      <c r="C11" s="19" t="s">
        <v>167</v>
      </c>
    </row>
    <row r="12" spans="1:3" ht="25.5" customHeight="1" x14ac:dyDescent="0.3">
      <c r="A12" s="10" t="s">
        <v>150</v>
      </c>
      <c r="B12" s="18" t="s">
        <v>168</v>
      </c>
      <c r="C12" s="19" t="s">
        <v>169</v>
      </c>
    </row>
    <row r="13" spans="1:3" ht="25.5" customHeight="1" x14ac:dyDescent="0.3">
      <c r="A13" s="10" t="s">
        <v>170</v>
      </c>
      <c r="B13" s="18" t="s">
        <v>171</v>
      </c>
      <c r="C13" s="19" t="s">
        <v>172</v>
      </c>
    </row>
    <row r="14" spans="1:3" ht="25.5" customHeight="1" x14ac:dyDescent="0.3">
      <c r="A14" s="10" t="s">
        <v>173</v>
      </c>
      <c r="B14" s="18" t="s">
        <v>174</v>
      </c>
      <c r="C14" s="19" t="s">
        <v>175</v>
      </c>
    </row>
    <row r="15" spans="1:3" ht="25.5" customHeight="1" x14ac:dyDescent="0.3">
      <c r="A15" s="10" t="s">
        <v>118</v>
      </c>
      <c r="B15" s="18" t="s">
        <v>176</v>
      </c>
      <c r="C15" s="19" t="s">
        <v>177</v>
      </c>
    </row>
    <row r="16" spans="1:3" ht="25.5" customHeight="1" x14ac:dyDescent="0.3">
      <c r="A16" s="10" t="s">
        <v>178</v>
      </c>
      <c r="B16" s="18" t="s">
        <v>179</v>
      </c>
      <c r="C16" s="19" t="s">
        <v>180</v>
      </c>
    </row>
    <row r="17" spans="1:3" ht="25.5" customHeight="1" x14ac:dyDescent="0.3">
      <c r="A17" s="10" t="s">
        <v>140</v>
      </c>
      <c r="B17" s="18" t="s">
        <v>181</v>
      </c>
      <c r="C17" s="19" t="s">
        <v>182</v>
      </c>
    </row>
    <row r="18" spans="1:3" ht="25.5" customHeight="1" x14ac:dyDescent="0.3">
      <c r="A18" s="10" t="s">
        <v>183</v>
      </c>
      <c r="B18" s="18" t="s">
        <v>184</v>
      </c>
      <c r="C18" s="19" t="s">
        <v>185</v>
      </c>
    </row>
    <row r="19" spans="1:3" ht="25.5" customHeight="1" x14ac:dyDescent="0.3">
      <c r="A19" s="10" t="s">
        <v>186</v>
      </c>
      <c r="B19" s="18" t="s">
        <v>187</v>
      </c>
      <c r="C19" s="19" t="s">
        <v>188</v>
      </c>
    </row>
    <row r="21" spans="1:3" ht="15" customHeight="1" x14ac:dyDescent="0.3">
      <c r="A21" s="1" t="s">
        <v>189</v>
      </c>
      <c r="B21" s="1"/>
      <c r="C21" s="1"/>
    </row>
    <row r="22" spans="1:3" x14ac:dyDescent="0.3">
      <c r="A22" s="1"/>
      <c r="B22" s="1"/>
      <c r="C22" s="1"/>
    </row>
    <row r="23" spans="1:3" x14ac:dyDescent="0.3">
      <c r="A23" s="1"/>
      <c r="B23" s="1"/>
      <c r="C23" s="1"/>
    </row>
  </sheetData>
  <mergeCells count="3">
    <mergeCell ref="A1:C1"/>
    <mergeCell ref="A2:C2"/>
    <mergeCell ref="A21:C23"/>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Overview</vt:lpstr>
      <vt:lpstr>Income Statement</vt:lpstr>
      <vt:lpstr>Balance Sheet</vt:lpstr>
      <vt:lpstr>Key Ratios</vt:lpstr>
      <vt:lpstr>IMF Controversy Context</vt:lpstr>
      <vt:lpstr>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Courage Cobbinah</cp:lastModifiedBy>
  <cp:revision>0</cp:revision>
  <dcterms:created xsi:type="dcterms:W3CDTF">2026-08-18T09:06:45Z</dcterms:created>
  <dcterms:modified xsi:type="dcterms:W3CDTF">2026-08-19T16:40:56Z</dcterms:modified>
  <dc:language>en-US</dc:language>
</cp:coreProperties>
</file>